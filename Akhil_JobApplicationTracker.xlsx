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pplications" sheetId="1" state="visible" r:id="rId3"/>
    <sheet name="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<sst xmlns="http://schemas.openxmlformats.org/spreadsheetml/2006/main" count="169" uniqueCount="92">
  <si>
    <t xml:space="preserve">#</t>
  </si>
  <si>
    <t xml:space="preserve">Role</t>
  </si>
  <si>
    <t xml:space="preserve">Company</t>
  </si>
  <si>
    <t xml:space="preserve">Match %</t>
  </si>
  <si>
    <t xml:space="preserve">Location</t>
  </si>
  <si>
    <t xml:space="preserve">Salary</t>
  </si>
  <si>
    <t xml:space="preserve">Site</t>
  </si>
  <si>
    <t xml:space="preserve">Applied Date</t>
  </si>
  <si>
    <t xml:space="preserve">Status</t>
  </si>
  <si>
    <t xml:space="preserve">Notes</t>
  </si>
  <si>
    <t xml:space="preserve">Data Analyst</t>
  </si>
  <si>
    <t xml:space="preserve">Harnham (via Reed)</t>
  </si>
  <si>
    <t xml:space="preserve">Remote UK</t>
  </si>
  <si>
    <t xml:space="preserve">£35–45k</t>
  </si>
  <si>
    <t xml:space="preserve">Reed</t>
  </si>
  <si>
    <t xml:space="preserve">10/04/2026</t>
  </si>
  <si>
    <t xml:space="preserve">Applied</t>
  </si>
  <si>
    <t xml:space="preserve">BI Analyst</t>
  </si>
  <si>
    <t xml:space="preserve">Robert Walters</t>
  </si>
  <si>
    <t xml:space="preserve">Birmingham (Remote)</t>
  </si>
  <si>
    <t xml:space="preserve">£50–55k</t>
  </si>
  <si>
    <t xml:space="preserve">CWJobs</t>
  </si>
  <si>
    <t xml:space="preserve">Data &amp; Insight Analyst</t>
  </si>
  <si>
    <t xml:space="preserve">Southwark Council</t>
  </si>
  <si>
    <t xml:space="preserve">London (Hybrid)</t>
  </si>
  <si>
    <t xml:space="preserve">£35–42k</t>
  </si>
  <si>
    <t xml:space="preserve">Supporting statement submitted</t>
  </si>
  <si>
    <t xml:space="preserve">Power BI Developer</t>
  </si>
  <si>
    <t xml:space="preserve">Social Care Org (Hays)</t>
  </si>
  <si>
    <t xml:space="preserve">West Midlands (Hybrid)</t>
  </si>
  <si>
    <t xml:space="preserve">£50k</t>
  </si>
  <si>
    <t xml:space="preserve">Unknown (Sheffield)</t>
  </si>
  <si>
    <t xml:space="preserve">Sheffield (Remote)</t>
  </si>
  <si>
    <t xml:space="preserve">£55k</t>
  </si>
  <si>
    <t xml:space="preserve">Power BI / Fabric Analyst</t>
  </si>
  <si>
    <t xml:space="preserve">Microsoft Consultancy</t>
  </si>
  <si>
    <t xml:space="preserve">£40–50k</t>
  </si>
  <si>
    <t xml:space="preserve">Data Analyst (SQL)</t>
  </si>
  <si>
    <t xml:space="preserve">Unknown (N. Yorkshire)</t>
  </si>
  <si>
    <t xml:space="preserve">N. Yorkshire (Hybrid)</t>
  </si>
  <si>
    <t xml:space="preserve">Oscar Associates (Oxford)</t>
  </si>
  <si>
    <t xml:space="preserve">Oxford (Hybrid)</t>
  </si>
  <si>
    <t xml:space="preserve">£50–60k</t>
  </si>
  <si>
    <t xml:space="preserve">Bibby Financial Services</t>
  </si>
  <si>
    <t xml:space="preserve">Banbury (Hybrid)</t>
  </si>
  <si>
    <t xml:space="preserve">£60k</t>
  </si>
  <si>
    <t xml:space="preserve">Best match today — 88%</t>
  </si>
  <si>
    <t xml:space="preserve">Absolute Recruit (Luton)</t>
  </si>
  <si>
    <t xml:space="preserve">Luton (Onsite)</t>
  </si>
  <si>
    <t xml:space="preserve">1 month old listing</t>
  </si>
  <si>
    <t xml:space="preserve">Not-for-Profit (Hays)</t>
  </si>
  <si>
    <t xml:space="preserve">UK (Hybrid)</t>
  </si>
  <si>
    <t xml:space="preserve">Unknown</t>
  </si>
  <si>
    <t xml:space="preserve">Indeed</t>
  </si>
  <si>
    <t xml:space="preserve">Data Science Analyst</t>
  </si>
  <si>
    <t xml:space="preserve">Markerstudy Group</t>
  </si>
  <si>
    <t xml:space="preserve">Peterborough (Hybrid)</t>
  </si>
  <si>
    <t xml:space="preserve">1 day in office only</t>
  </si>
  <si>
    <t xml:space="preserve">Data Engineer</t>
  </si>
  <si>
    <t xml:space="preserve">JPMorgan Chase</t>
  </si>
  <si>
    <t xml:space="preserve">Competitive</t>
  </si>
  <si>
    <t xml:space="preserve">Prestigious — worth it</t>
  </si>
  <si>
    <t xml:space="preserve">PING Europe</t>
  </si>
  <si>
    <t xml:space="preserve">Gainsborough (Onsite)</t>
  </si>
  <si>
    <t xml:space="preserve">£38–45k</t>
  </si>
  <si>
    <t xml:space="preserve">Deadline 20 Apr 2026</t>
  </si>
  <si>
    <t xml:space="preserve">Operational Data Analyst</t>
  </si>
  <si>
    <t xml:space="preserve">Optima Health</t>
  </si>
  <si>
    <t xml:space="preserve">Remote (Glasgow travel)</t>
  </si>
  <si>
    <t xml:space="preserve">£45–50k</t>
  </si>
  <si>
    <t xml:space="preserve">Homebased — ideal</t>
  </si>
  <si>
    <t xml:space="preserve">Unknown (Remote)</t>
  </si>
  <si>
    <t xml:space="preserve">£45–65k</t>
  </si>
  <si>
    <t xml:space="preserve">Fully remote</t>
  </si>
  <si>
    <t xml:space="preserve">Brightmine</t>
  </si>
  <si>
    <t xml:space="preserve">Glassdoor</t>
  </si>
  <si>
    <t xml:space="preserve">NHS Sunderland (Post 1)</t>
  </si>
  <si>
    <t xml:space="preserve">Sunderland (Hybrid)</t>
  </si>
  <si>
    <t xml:space="preserve">Band 6/7</t>
  </si>
  <si>
    <t xml:space="preserve">NHS Jobs</t>
  </si>
  <si>
    <t xml:space="preserve">Full application form completed</t>
  </si>
  <si>
    <t xml:space="preserve">NHS Sunderland (Post 2)</t>
  </si>
  <si>
    <t xml:space="preserve">Patient Safety Data Analyst</t>
  </si>
  <si>
    <t xml:space="preserve">NHS Northamptonshire</t>
  </si>
  <si>
    <t xml:space="preserve">Northampton (Hybrid)</t>
  </si>
  <si>
    <t xml:space="preserve">Visa sponsorship available</t>
  </si>
  <si>
    <t xml:space="preserve">Count</t>
  </si>
  <si>
    <t xml:space="preserve">Interview</t>
  </si>
  <si>
    <t xml:space="preserve">Offer</t>
  </si>
  <si>
    <t xml:space="preserve">Rejected</t>
  </si>
  <si>
    <t xml:space="preserve">Pending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</si>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</sst>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color rgb="FF1E1E1E"/>
      <name val="Arial"/>
      <family val="0"/>
      <charset val="1"/>
    </font>
    <font>
      <b val="true"/>
      <sz val="10"/>
      <color rgb="FF185FA5"/>
      <name val="Arial"/>
      <family val="0"/>
      <charset val="1"/>
    </font>
    <font>
      <b val="true"/>
      <sz val="10"/>
      <color rgb="FF0C447C"/>
      <name val="Arial"/>
      <family val="0"/>
      <charset val="1"/>
    </font>
    <font>
      <b val="true"/>
      <sz val="10"/>
      <color rgb="FF085041"/>
      <name val="Arial"/>
      <family val="0"/>
      <charset val="1"/>
    </font>
    <font>
      <b val="true"/>
      <sz val="10"/>
      <color rgb="FF854F0B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B3A6B"/>
        <bgColor rgb="FF0C447C"/>
      </patternFill>
    </fill>
    <fill>
      <patternFill patternType="solid">
        <fgColor rgb="FFF8F9FA"/>
        <bgColor rgb="FFF5F5F5"/>
      </patternFill>
    </fill>
    <fill>
      <patternFill patternType="solid">
        <fgColor rgb="FFEBF3FB"/>
        <bgColor rgb="FFF5F5F5"/>
      </patternFill>
    </fill>
    <fill>
      <patternFill patternType="solid">
        <fgColor rgb="FFEAF3DE"/>
        <bgColor rgb="FFE1F5EE"/>
      </patternFill>
    </fill>
    <fill>
      <patternFill patternType="solid">
        <fgColor rgb="FFE1F5EE"/>
        <bgColor rgb="FFEBF3FB"/>
      </patternFill>
    </fill>
    <fill>
      <patternFill patternType="solid">
        <fgColor rgb="FFFCEBEB"/>
        <bgColor rgb="FFF5F5F5"/>
      </patternFill>
    </fill>
    <fill>
      <patternFill patternType="solid">
        <fgColor rgb="FFF5F5F5"/>
        <bgColor rgb="FFF8F9F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3D1C7"/>
      </left>
      <right style="thin">
        <color rgb="FFD3D1C7"/>
      </right>
      <top style="thin">
        <color rgb="FFD3D1C7"/>
      </top>
      <bottom style="thin">
        <color rgb="FFD3D1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3D1C7"/>
      <rgbColor rgb="FF808080"/>
      <rgbColor rgb="FF9999FF"/>
      <rgbColor rgb="FF993366"/>
      <rgbColor rgb="FFEAF3DE"/>
      <rgbColor rgb="FFE1F5EE"/>
      <rgbColor rgb="FF660066"/>
      <rgbColor rgb="FFFF8080"/>
      <rgbColor rgb="FF185FA5"/>
      <rgbColor rgb="FFF8F9F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BF3FB"/>
      <rgbColor rgb="FFF5F5F5"/>
      <rgbColor rgb="FFFCEBEB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A6B"/>
      <rgbColor rgb="FF339966"/>
      <rgbColor rgb="FF085041"/>
      <rgbColor rgb="FF333300"/>
      <rgbColor rgb="FF854F0B"/>
      <rgbColor rgb="FF993366"/>
      <rgbColor rgb="FF0C447C"/>
      <rgbColor rgb="FF1E1E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9" min="8" style="0" width="14"/>
    <col collapsed="false" customWidth="true" hidden="false" outlineLevel="0" max="10" min="10" style="0" width="30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21.75" hidden="false" customHeight="true" outlineLevel="0" collapsed="false">
      <c r="A2" s="2" t="n">
        <v>1</v>
      </c>
      <c r="B2" s="3" t="s">
        <v>10</v>
      </c>
      <c r="C2" s="3" t="s">
        <v>11</v>
      </c>
      <c r="D2" s="4" t="n">
        <v>82</v>
      </c>
      <c r="E2" s="3" t="s">
        <v>12</v>
      </c>
      <c r="F2" s="3" t="s">
        <v>13</v>
      </c>
      <c r="G2" s="3" t="s">
        <v>14</v>
      </c>
      <c r="H2" s="3" t="s">
        <v>15</v>
      </c>
      <c r="I2" s="5" t="s">
        <v>16</v>
      </c>
      <c r="J2" s="3"/>
    </row>
    <row r="3" customFormat="false" ht="21.75" hidden="false" customHeight="true" outlineLevel="0" collapsed="false">
      <c r="A3" s="6" t="n">
        <v>2</v>
      </c>
      <c r="B3" s="7" t="s">
        <v>17</v>
      </c>
      <c r="C3" s="7" t="s">
        <v>18</v>
      </c>
      <c r="D3" s="8" t="n">
        <v>85</v>
      </c>
      <c r="E3" s="7" t="s">
        <v>19</v>
      </c>
      <c r="F3" s="7" t="s">
        <v>20</v>
      </c>
      <c r="G3" s="7" t="s">
        <v>21</v>
      </c>
      <c r="H3" s="7" t="s">
        <v>15</v>
      </c>
      <c r="I3" s="5" t="s">
        <v>16</v>
      </c>
      <c r="J3" s="7"/>
    </row>
    <row r="4" customFormat="false" ht="21.75" hidden="false" customHeight="true" outlineLevel="0" collapsed="false">
      <c r="A4" s="2" t="n">
        <v>3</v>
      </c>
      <c r="B4" s="3" t="s">
        <v>22</v>
      </c>
      <c r="C4" s="3" t="s">
        <v>23</v>
      </c>
      <c r="D4" s="9" t="n">
        <v>78</v>
      </c>
      <c r="E4" s="3" t="s">
        <v>24</v>
      </c>
      <c r="F4" s="3" t="s">
        <v>25</v>
      </c>
      <c r="G4" s="3" t="s">
        <v>14</v>
      </c>
      <c r="H4" s="3" t="s">
        <v>15</v>
      </c>
      <c r="I4" s="5" t="s">
        <v>16</v>
      </c>
      <c r="J4" s="3" t="s">
        <v>26</v>
      </c>
    </row>
    <row r="5" customFormat="false" ht="21.75" hidden="false" customHeight="true" outlineLevel="0" collapsed="false">
      <c r="A5" s="6" t="n">
        <v>4</v>
      </c>
      <c r="B5" s="7" t="s">
        <v>27</v>
      </c>
      <c r="C5" s="7" t="s">
        <v>28</v>
      </c>
      <c r="D5" s="10" t="n">
        <v>75</v>
      </c>
      <c r="E5" s="7" t="s">
        <v>29</v>
      </c>
      <c r="F5" s="7" t="s">
        <v>30</v>
      </c>
      <c r="G5" s="7" t="s">
        <v>14</v>
      </c>
      <c r="H5" s="7" t="s">
        <v>15</v>
      </c>
      <c r="I5" s="5" t="s">
        <v>16</v>
      </c>
      <c r="J5" s="7"/>
    </row>
    <row r="6" customFormat="false" ht="21.75" hidden="false" customHeight="true" outlineLevel="0" collapsed="false">
      <c r="A6" s="2" t="n">
        <v>5</v>
      </c>
      <c r="B6" s="3" t="s">
        <v>17</v>
      </c>
      <c r="C6" s="3" t="s">
        <v>31</v>
      </c>
      <c r="D6" s="11" t="n">
        <v>85</v>
      </c>
      <c r="E6" s="3" t="s">
        <v>32</v>
      </c>
      <c r="F6" s="3" t="s">
        <v>33</v>
      </c>
      <c r="G6" s="3" t="s">
        <v>14</v>
      </c>
      <c r="H6" s="3" t="s">
        <v>15</v>
      </c>
      <c r="I6" s="5" t="s">
        <v>16</v>
      </c>
      <c r="J6" s="3"/>
    </row>
    <row r="7" customFormat="false" ht="21.75" hidden="false" customHeight="true" outlineLevel="0" collapsed="false">
      <c r="A7" s="6" t="n">
        <v>6</v>
      </c>
      <c r="B7" s="7" t="s">
        <v>34</v>
      </c>
      <c r="C7" s="7" t="s">
        <v>35</v>
      </c>
      <c r="D7" s="12" t="n">
        <v>80</v>
      </c>
      <c r="E7" s="7" t="s">
        <v>12</v>
      </c>
      <c r="F7" s="7" t="s">
        <v>36</v>
      </c>
      <c r="G7" s="7" t="s">
        <v>14</v>
      </c>
      <c r="H7" s="7" t="s">
        <v>15</v>
      </c>
      <c r="I7" s="5" t="s">
        <v>16</v>
      </c>
      <c r="J7" s="7"/>
    </row>
    <row r="8" customFormat="false" ht="21.75" hidden="false" customHeight="true" outlineLevel="0" collapsed="false">
      <c r="A8" s="2" t="n">
        <v>7</v>
      </c>
      <c r="B8" s="3" t="s">
        <v>37</v>
      </c>
      <c r="C8" s="3" t="s">
        <v>38</v>
      </c>
      <c r="D8" s="9" t="n">
        <v>78</v>
      </c>
      <c r="E8" s="3" t="s">
        <v>39</v>
      </c>
      <c r="F8" s="3" t="s">
        <v>36</v>
      </c>
      <c r="G8" s="3" t="s">
        <v>21</v>
      </c>
      <c r="H8" s="3" t="s">
        <v>15</v>
      </c>
      <c r="I8" s="5" t="s">
        <v>16</v>
      </c>
      <c r="J8" s="3"/>
    </row>
    <row r="9" customFormat="false" ht="21.75" hidden="false" customHeight="true" outlineLevel="0" collapsed="false">
      <c r="A9" s="6" t="n">
        <v>8</v>
      </c>
      <c r="B9" s="7" t="s">
        <v>10</v>
      </c>
      <c r="C9" s="7" t="s">
        <v>40</v>
      </c>
      <c r="D9" s="12" t="n">
        <v>82</v>
      </c>
      <c r="E9" s="7" t="s">
        <v>41</v>
      </c>
      <c r="F9" s="7" t="s">
        <v>42</v>
      </c>
      <c r="G9" s="7" t="s">
        <v>21</v>
      </c>
      <c r="H9" s="7" t="s">
        <v>15</v>
      </c>
      <c r="I9" s="5" t="s">
        <v>16</v>
      </c>
      <c r="J9" s="7"/>
    </row>
    <row r="10" customFormat="false" ht="21.75" hidden="false" customHeight="true" outlineLevel="0" collapsed="false">
      <c r="A10" s="2" t="n">
        <v>9</v>
      </c>
      <c r="B10" s="3" t="s">
        <v>10</v>
      </c>
      <c r="C10" s="3" t="s">
        <v>43</v>
      </c>
      <c r="D10" s="11" t="n">
        <v>88</v>
      </c>
      <c r="E10" s="3" t="s">
        <v>44</v>
      </c>
      <c r="F10" s="3" t="s">
        <v>45</v>
      </c>
      <c r="G10" s="3" t="s">
        <v>21</v>
      </c>
      <c r="H10" s="3" t="s">
        <v>15</v>
      </c>
      <c r="I10" s="5" t="s">
        <v>16</v>
      </c>
      <c r="J10" s="3" t="s">
        <v>46</v>
      </c>
    </row>
    <row r="11" customFormat="false" ht="21.75" hidden="false" customHeight="true" outlineLevel="0" collapsed="false">
      <c r="A11" s="6" t="n">
        <v>10</v>
      </c>
      <c r="B11" s="7" t="s">
        <v>10</v>
      </c>
      <c r="C11" s="7" t="s">
        <v>47</v>
      </c>
      <c r="D11" s="10" t="n">
        <v>78</v>
      </c>
      <c r="E11" s="7" t="s">
        <v>48</v>
      </c>
      <c r="F11" s="7" t="s">
        <v>36</v>
      </c>
      <c r="G11" s="7" t="s">
        <v>21</v>
      </c>
      <c r="H11" s="7" t="s">
        <v>15</v>
      </c>
      <c r="I11" s="5" t="s">
        <v>16</v>
      </c>
      <c r="J11" s="7" t="s">
        <v>49</v>
      </c>
    </row>
    <row r="12" customFormat="false" ht="21.75" hidden="false" customHeight="true" outlineLevel="0" collapsed="false">
      <c r="A12" s="2" t="n">
        <v>11</v>
      </c>
      <c r="B12" s="3" t="s">
        <v>10</v>
      </c>
      <c r="C12" s="3" t="s">
        <v>50</v>
      </c>
      <c r="D12" s="4" t="n">
        <v>83</v>
      </c>
      <c r="E12" s="3" t="s">
        <v>51</v>
      </c>
      <c r="F12" s="3" t="s">
        <v>52</v>
      </c>
      <c r="G12" s="3" t="s">
        <v>53</v>
      </c>
      <c r="H12" s="3" t="s">
        <v>15</v>
      </c>
      <c r="I12" s="5" t="s">
        <v>16</v>
      </c>
      <c r="J12" s="3"/>
    </row>
    <row r="13" customFormat="false" ht="21.75" hidden="false" customHeight="true" outlineLevel="0" collapsed="false">
      <c r="A13" s="6" t="n">
        <v>12</v>
      </c>
      <c r="B13" s="7" t="s">
        <v>54</v>
      </c>
      <c r="C13" s="7" t="s">
        <v>55</v>
      </c>
      <c r="D13" s="12" t="n">
        <v>82</v>
      </c>
      <c r="E13" s="7" t="s">
        <v>56</v>
      </c>
      <c r="F13" s="7" t="s">
        <v>52</v>
      </c>
      <c r="G13" s="7" t="s">
        <v>53</v>
      </c>
      <c r="H13" s="7" t="s">
        <v>15</v>
      </c>
      <c r="I13" s="5" t="s">
        <v>16</v>
      </c>
      <c r="J13" s="7" t="s">
        <v>57</v>
      </c>
    </row>
    <row r="14" customFormat="false" ht="21.75" hidden="false" customHeight="true" outlineLevel="0" collapsed="false">
      <c r="A14" s="2" t="n">
        <v>13</v>
      </c>
      <c r="B14" s="3" t="s">
        <v>58</v>
      </c>
      <c r="C14" s="3" t="s">
        <v>59</v>
      </c>
      <c r="D14" s="9" t="n">
        <v>78</v>
      </c>
      <c r="E14" s="3" t="s">
        <v>24</v>
      </c>
      <c r="F14" s="3" t="s">
        <v>60</v>
      </c>
      <c r="G14" s="3" t="s">
        <v>53</v>
      </c>
      <c r="H14" s="3" t="s">
        <v>15</v>
      </c>
      <c r="I14" s="5" t="s">
        <v>16</v>
      </c>
      <c r="J14" s="3" t="s">
        <v>61</v>
      </c>
    </row>
    <row r="15" customFormat="false" ht="21.75" hidden="false" customHeight="true" outlineLevel="0" collapsed="false">
      <c r="A15" s="6" t="n">
        <v>14</v>
      </c>
      <c r="B15" s="7" t="s">
        <v>10</v>
      </c>
      <c r="C15" s="7" t="s">
        <v>62</v>
      </c>
      <c r="D15" s="10" t="n">
        <v>78</v>
      </c>
      <c r="E15" s="7" t="s">
        <v>63</v>
      </c>
      <c r="F15" s="7" t="s">
        <v>64</v>
      </c>
      <c r="G15" s="7" t="s">
        <v>53</v>
      </c>
      <c r="H15" s="7" t="s">
        <v>15</v>
      </c>
      <c r="I15" s="5" t="s">
        <v>16</v>
      </c>
      <c r="J15" s="7" t="s">
        <v>65</v>
      </c>
    </row>
    <row r="16" customFormat="false" ht="21.75" hidden="false" customHeight="true" outlineLevel="0" collapsed="false">
      <c r="A16" s="2" t="n">
        <v>15</v>
      </c>
      <c r="B16" s="3" t="s">
        <v>66</v>
      </c>
      <c r="C16" s="3" t="s">
        <v>67</v>
      </c>
      <c r="D16" s="4" t="n">
        <v>82</v>
      </c>
      <c r="E16" s="3" t="s">
        <v>68</v>
      </c>
      <c r="F16" s="3" t="s">
        <v>69</v>
      </c>
      <c r="G16" s="3" t="s">
        <v>53</v>
      </c>
      <c r="H16" s="3" t="s">
        <v>15</v>
      </c>
      <c r="I16" s="5" t="s">
        <v>16</v>
      </c>
      <c r="J16" s="3" t="s">
        <v>70</v>
      </c>
    </row>
    <row r="17" customFormat="false" ht="21.75" hidden="false" customHeight="true" outlineLevel="0" collapsed="false">
      <c r="A17" s="6" t="n">
        <v>16</v>
      </c>
      <c r="B17" s="7" t="s">
        <v>58</v>
      </c>
      <c r="C17" s="7" t="s">
        <v>71</v>
      </c>
      <c r="D17" s="12" t="n">
        <v>82</v>
      </c>
      <c r="E17" s="7" t="s">
        <v>12</v>
      </c>
      <c r="F17" s="7" t="s">
        <v>72</v>
      </c>
      <c r="G17" s="7" t="s">
        <v>53</v>
      </c>
      <c r="H17" s="7" t="s">
        <v>15</v>
      </c>
      <c r="I17" s="5" t="s">
        <v>16</v>
      </c>
      <c r="J17" s="7" t="s">
        <v>73</v>
      </c>
    </row>
    <row r="18" customFormat="false" ht="21.75" hidden="false" customHeight="true" outlineLevel="0" collapsed="false">
      <c r="A18" s="2" t="n">
        <v>17</v>
      </c>
      <c r="B18" s="3" t="s">
        <v>10</v>
      </c>
      <c r="C18" s="3" t="s">
        <v>74</v>
      </c>
      <c r="D18" s="9" t="n">
        <v>78</v>
      </c>
      <c r="E18" s="3" t="s">
        <v>12</v>
      </c>
      <c r="F18" s="3" t="s">
        <v>52</v>
      </c>
      <c r="G18" s="3" t="s">
        <v>75</v>
      </c>
      <c r="H18" s="3" t="s">
        <v>15</v>
      </c>
      <c r="I18" s="5" t="s">
        <v>16</v>
      </c>
      <c r="J18" s="3"/>
    </row>
    <row r="19" customFormat="false" ht="21.75" hidden="false" customHeight="true" outlineLevel="0" collapsed="false">
      <c r="A19" s="6" t="n">
        <v>18</v>
      </c>
      <c r="B19" s="7" t="s">
        <v>10</v>
      </c>
      <c r="C19" s="7" t="s">
        <v>76</v>
      </c>
      <c r="D19" s="8" t="n">
        <v>85</v>
      </c>
      <c r="E19" s="7" t="s">
        <v>77</v>
      </c>
      <c r="F19" s="7" t="s">
        <v>78</v>
      </c>
      <c r="G19" s="7" t="s">
        <v>79</v>
      </c>
      <c r="H19" s="7" t="s">
        <v>15</v>
      </c>
      <c r="I19" s="5" t="s">
        <v>16</v>
      </c>
      <c r="J19" s="7" t="s">
        <v>80</v>
      </c>
    </row>
    <row r="20" customFormat="false" ht="21.75" hidden="false" customHeight="true" outlineLevel="0" collapsed="false">
      <c r="A20" s="2" t="n">
        <v>19</v>
      </c>
      <c r="B20" s="3" t="s">
        <v>17</v>
      </c>
      <c r="C20" s="3" t="s">
        <v>81</v>
      </c>
      <c r="D20" s="11" t="n">
        <v>85</v>
      </c>
      <c r="E20" s="3" t="s">
        <v>77</v>
      </c>
      <c r="F20" s="3" t="s">
        <v>78</v>
      </c>
      <c r="G20" s="3" t="s">
        <v>79</v>
      </c>
      <c r="H20" s="3" t="s">
        <v>15</v>
      </c>
      <c r="I20" s="5" t="s">
        <v>16</v>
      </c>
      <c r="J20" s="3" t="s">
        <v>80</v>
      </c>
    </row>
    <row r="21" customFormat="false" ht="21.75" hidden="false" customHeight="true" outlineLevel="0" collapsed="false">
      <c r="A21" s="6" t="n">
        <v>20</v>
      </c>
      <c r="B21" s="7" t="s">
        <v>82</v>
      </c>
      <c r="C21" s="7" t="s">
        <v>83</v>
      </c>
      <c r="D21" s="10" t="n">
        <v>72</v>
      </c>
      <c r="E21" s="7" t="s">
        <v>84</v>
      </c>
      <c r="F21" s="7" t="s">
        <v>78</v>
      </c>
      <c r="G21" s="7" t="s">
        <v>79</v>
      </c>
      <c r="H21" s="7" t="s">
        <v>15</v>
      </c>
      <c r="I21" s="5" t="s">
        <v>16</v>
      </c>
      <c r="J21" s="7" t="s">
        <v>85</v>
      </c>
    </row>
  </sheetData>
  <dataValidations count="1">
    <dataValidation allowBlank="false" errorStyle="stop" operator="between" showDropDown="false" showErrorMessage="false" showInputMessage="false" sqref="I2:I21" type="list">
      <formula1>"Applied,Interview,Offer,Rejected,Pending"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0"/>
  </cols>
  <sheetData>
    <row r="1" customFormat="false" ht="15" hidden="false" customHeight="false" outlineLevel="0" collapsed="false">
      <c r="A1" s="13" t="s">
        <v>8</v>
      </c>
      <c r="B1" s="13" t="s">
        <v>86</v>
      </c>
    </row>
    <row r="2" customFormat="false" ht="15" hidden="false" customHeight="false" outlineLevel="0" collapsed="false">
      <c r="A2" s="14" t="s">
        <v>16</v>
      </c>
      <c r="B2" s="15" t="n">
        <f aca="false">COUNTIF(Applications!I:I,"Applied")</f>
        <v>20</v>
      </c>
    </row>
    <row r="3" customFormat="false" ht="15" hidden="false" customHeight="false" outlineLevel="0" collapsed="false">
      <c r="A3" s="16" t="s">
        <v>87</v>
      </c>
      <c r="B3" s="15" t="n">
        <f aca="false">COUNTIF(Applications!I:I,"Interview")</f>
        <v>0</v>
      </c>
    </row>
    <row r="4" customFormat="false" ht="15" hidden="false" customHeight="false" outlineLevel="0" collapsed="false">
      <c r="A4" s="17" t="s">
        <v>88</v>
      </c>
      <c r="B4" s="15" t="n">
        <f aca="false">COUNTIF(Applications!I:I,"Offer")</f>
        <v>0</v>
      </c>
    </row>
    <row r="5" customFormat="false" ht="15" hidden="false" customHeight="false" outlineLevel="0" collapsed="false">
      <c r="A5" s="18" t="s">
        <v>89</v>
      </c>
      <c r="B5" s="15" t="n">
        <f aca="false">COUNTIF(Applications!I:I,"Rejected")</f>
        <v>0</v>
      </c>
    </row>
    <row r="6" customFormat="false" ht="15" hidden="false" customHeight="false" outlineLevel="0" collapsed="false">
      <c r="A6" s="19" t="s">
        <v>90</v>
      </c>
      <c r="B6" s="15" t="n">
        <f aca="false">COUNTIF(Applications!I:I,"Pending")</f>
        <v>0</v>
      </c>
    </row>
    <row r="8" customFormat="false" ht="15" hidden="false" customHeight="false" outlineLevel="0" collapsed="false">
      <c r="A8" s="20" t="s">
        <v>91</v>
      </c>
      <c r="B8" s="21" t="n">
        <f aca="false">SUM(B2:B6)</f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2026-04-10T20:21:12Z</dcterms:created>
  <dc:creator>openpyxl</dc:creator>
  <dc:description/>
  <dc:language>en-US</dc:language>
  <cp:lastModifiedBy/>
  <dcterms:modified xsi:type="dcterms:W3CDTF">2026-04-10T20:21:12Z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